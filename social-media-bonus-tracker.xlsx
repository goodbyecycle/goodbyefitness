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racker" sheetId="1" state="visible" r:id="rId1"/>
    <sheet name="Bonu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$#,##0.00;($#,##0.00);-"/>
    <numFmt numFmtId="166" formatCode="$0.00"/>
  </numFmts>
  <fonts count="10">
    <font>
      <name val="Calibri"/>
      <family val="2"/>
      <color theme="1"/>
      <sz val="11"/>
      <scheme val="minor"/>
    </font>
    <font>
      <name val="Arial"/>
      <b val="1"/>
      <color rgb="000A0A0A"/>
      <sz val="14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2EDE4"/>
      <sz val="11"/>
    </font>
    <font>
      <name val="Arial"/>
      <sz val="10"/>
    </font>
    <font>
      <name val="Arial"/>
      <color rgb="00008000"/>
      <sz val="10"/>
    </font>
    <font>
      <name val="Arial"/>
      <b val="1"/>
      <sz val="9"/>
    </font>
    <font>
      <name val="Arial"/>
      <sz val="9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0A0A0A"/>
      </patternFill>
    </fill>
    <fill>
      <patternFill patternType="solid">
        <fgColor rgb="00FF006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3" fillId="2" borderId="1" pivotButton="0" quotePrefix="0" xfId="0"/>
    <xf numFmtId="164" fontId="5" fillId="0" borderId="1" pivotButton="0" quotePrefix="0" xfId="0"/>
    <xf numFmtId="165" fontId="6" fillId="0" borderId="1" pivotButton="0" quotePrefix="0" xfId="0"/>
    <xf numFmtId="0" fontId="4" fillId="4" borderId="1" pivotButton="0" quotePrefix="0" xfId="0"/>
    <xf numFmtId="165" fontId="4" fillId="4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6" fillId="0" borderId="1" pivotButton="0" quotePrefix="0" xfId="0"/>
    <xf numFmtId="164" fontId="6" fillId="0" borderId="1" pivotButton="0" quotePrefix="0" xfId="0"/>
    <xf numFmtId="166" fontId="3" fillId="2" borderId="1" pivotButton="0" quotePrefix="0" xfId="0"/>
    <xf numFmtId="0" fontId="5" fillId="0" borderId="0" pivotButton="0" quotePrefix="0" xfId="0"/>
    <xf numFmtId="165" fontId="5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4" customWidth="1" min="4" max="4"/>
    <col width="16" customWidth="1" min="5" max="5"/>
  </cols>
  <sheetData>
    <row r="1">
      <c r="A1" s="1" t="inlineStr">
        <is>
          <t>Goodbye Coffee — Social Media Bonus Tracker</t>
        </is>
      </c>
    </row>
    <row r="2">
      <c r="A2" s="2" t="inlineStr">
        <is>
          <t>Previous month:</t>
        </is>
      </c>
      <c r="B2" s="3" t="inlineStr">
        <is>
          <t>July 2026</t>
        </is>
      </c>
      <c r="C2" s="2" t="inlineStr">
        <is>
          <t>Current month:</t>
        </is>
      </c>
      <c r="D2" s="3" t="inlineStr">
        <is>
          <t>August 2026</t>
        </is>
      </c>
    </row>
    <row r="4" ht="28" customHeight="1">
      <c r="A4" s="4" t="inlineStr">
        <is>
          <t>Account / Metric</t>
        </is>
      </c>
      <c r="B4" s="4" t="inlineStr">
        <is>
          <t>Previous Month</t>
        </is>
      </c>
      <c r="C4" s="4" t="inlineStr">
        <is>
          <t>Current Month</t>
        </is>
      </c>
      <c r="D4" s="4" t="inlineStr">
        <is>
          <t>Gain</t>
        </is>
      </c>
      <c r="E4" s="4" t="inlineStr">
        <is>
          <t>Bonus</t>
        </is>
      </c>
    </row>
    <row r="5">
      <c r="A5" s="5" t="inlineStr">
        <is>
          <t>YouTube — Subscribers</t>
        </is>
      </c>
      <c r="B5" s="6" t="n"/>
      <c r="C5" s="6" t="n"/>
      <c r="D5" s="7">
        <f>C5-B5</f>
        <v/>
      </c>
      <c r="E5" s="8">
        <f>MAX(0,D5)*'Bonus Summary'!$C$5</f>
        <v/>
      </c>
    </row>
    <row r="6">
      <c r="A6" s="5" t="inlineStr">
        <is>
          <t>Instagram — Followers</t>
        </is>
      </c>
      <c r="B6" s="6" t="n"/>
      <c r="C6" s="6" t="n"/>
      <c r="D6" s="7">
        <f>C6-B6</f>
        <v/>
      </c>
      <c r="E6" s="8">
        <f>MAX(0,D6)*'Bonus Summary'!$C$6</f>
        <v/>
      </c>
    </row>
    <row r="7">
      <c r="A7" s="5" t="inlineStr">
        <is>
          <t>Facebook — Followers</t>
        </is>
      </c>
      <c r="B7" s="6" t="n"/>
      <c r="C7" s="6" t="n"/>
      <c r="D7" s="7">
        <f>C7-B7</f>
        <v/>
      </c>
      <c r="E7" s="8">
        <f>MAX(0,D7)*'Bonus Summary'!$C$7</f>
        <v/>
      </c>
    </row>
    <row r="8">
      <c r="A8" s="5" t="inlineStr">
        <is>
          <t>Google — Positive Reviews</t>
        </is>
      </c>
      <c r="B8" s="6" t="n"/>
      <c r="C8" s="6" t="n"/>
      <c r="D8" s="7">
        <f>C8-B8</f>
        <v/>
      </c>
      <c r="E8" s="8">
        <f>MAX(0,D8)*'Bonus Summary'!$C$8</f>
        <v/>
      </c>
    </row>
    <row r="9">
      <c r="A9" s="5" t="inlineStr">
        <is>
          <t>YouTube — Hours Watched</t>
        </is>
      </c>
      <c r="B9" s="6" t="n"/>
      <c r="C9" s="6" t="n"/>
      <c r="D9" s="7">
        <f>C9-B9</f>
        <v/>
      </c>
      <c r="E9" s="8">
        <f>MAX(0,D9)*'Bonus Summary'!$C$9</f>
        <v/>
      </c>
    </row>
    <row r="10">
      <c r="A10" s="9" t="inlineStr">
        <is>
          <t>TOTAL BONUS</t>
        </is>
      </c>
      <c r="B10" s="9" t="n"/>
      <c r="C10" s="9" t="n"/>
      <c r="D10" s="9" t="n"/>
      <c r="E10" s="10">
        <f>SUM(E5:E9)</f>
        <v/>
      </c>
    </row>
    <row r="12">
      <c r="A12" s="11" t="inlineStr">
        <is>
          <t>How to use this sheet</t>
        </is>
      </c>
    </row>
    <row r="13">
      <c r="A13" s="12" t="inlineStr">
        <is>
          <t>1. Type last month's and this month's numbers into the shaded yellow cells (columns B and C).</t>
        </is>
      </c>
    </row>
    <row r="14">
      <c r="A14" s="12" t="inlineStr">
        <is>
          <t>2. Gain and Bonus calculate themselves — don't type over them.</t>
        </is>
      </c>
    </row>
    <row r="15">
      <c r="A15" s="12" t="inlineStr">
        <is>
          <t>3. Bonus rates live on the 'Bonus Summary' tab, column C. Change a rate there and both tabs update.</t>
        </is>
      </c>
    </row>
    <row r="16">
      <c r="A16" s="12" t="inlineStr"/>
    </row>
    <row r="17">
      <c r="A17" s="12" t="inlineStr">
        <is>
          <t>Bonus rates in force: YouTube subscribers $0.50 · Instagram $0.25 · Facebook $0.25 ·</t>
        </is>
      </c>
    </row>
    <row r="18">
      <c r="A18" s="12" t="inlineStr">
        <is>
          <t>Google positive reviews $1.50 · YouTube hours watched $0.50 per hour.</t>
        </is>
      </c>
    </row>
    <row r="19">
      <c r="A19" s="12" t="inlineStr"/>
    </row>
    <row r="20">
      <c r="A20" s="11" t="inlineStr">
        <is>
          <t>Assumptions (change if wrong):</t>
        </is>
      </c>
    </row>
    <row r="21">
      <c r="A21" s="12" t="inlineStr">
        <is>
          <t>• Every row is paid on the GAIN over last month, including YouTube hours watched and Google reviews —</t>
        </is>
      </c>
    </row>
    <row r="22">
      <c r="A22" s="13" t="inlineStr">
        <is>
          <t xml:space="preserve">  i.e. this month's figure minus last month's, not the month's total.</t>
        </is>
      </c>
    </row>
    <row r="23">
      <c r="A23" s="12" t="inlineStr">
        <is>
          <t>• A month that goes backwards pays $0, never a negative bonus (MAX(0, gain) in the formula).</t>
        </is>
      </c>
    </row>
    <row r="24">
      <c r="A24" s="12" t="inlineStr">
        <is>
          <t>• Google reviews counts POSITIVE reviews only; enter the positive-review count, not the overall total.</t>
        </is>
      </c>
    </row>
    <row r="25">
      <c r="A25" s="12" t="inlineStr"/>
    </row>
    <row r="26">
      <c r="A26" s="11" t="inlineStr">
        <is>
          <t>Example row (illustration only — not real numbers):</t>
        </is>
      </c>
    </row>
    <row r="27">
      <c r="A27" s="13" t="inlineStr">
        <is>
          <t xml:space="preserve">  YouTube — Subscribers · Previous 1,240 · Current 1,388 · Gain 148 · Bonus $74.00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26" customWidth="1" min="4" max="4"/>
    <col width="16" customWidth="1" min="5" max="5"/>
  </cols>
  <sheetData>
    <row r="1">
      <c r="A1" s="1" t="inlineStr">
        <is>
          <t>Bonus Payout Summary</t>
        </is>
      </c>
    </row>
    <row r="2">
      <c r="A2" s="2" t="inlineStr">
        <is>
          <t>Pay period:</t>
        </is>
      </c>
      <c r="B2" s="14">
        <f>'Monthly Tracker'!B2&amp;" → "&amp;'Monthly Tracker'!D2</f>
        <v/>
      </c>
    </row>
    <row r="4" ht="28" customHeight="1">
      <c r="A4" s="4" t="inlineStr">
        <is>
          <t>Account / Metric</t>
        </is>
      </c>
      <c r="B4" s="4" t="inlineStr">
        <is>
          <t>Gain</t>
        </is>
      </c>
      <c r="C4" s="4" t="inlineStr">
        <is>
          <t>Rate</t>
        </is>
      </c>
      <c r="D4" s="4" t="inlineStr">
        <is>
          <t>Unit</t>
        </is>
      </c>
      <c r="E4" s="4" t="inlineStr">
        <is>
          <t>Bonus</t>
        </is>
      </c>
    </row>
    <row r="5">
      <c r="A5" s="15">
        <f>'Monthly Tracker'!A5</f>
        <v/>
      </c>
      <c r="B5" s="16">
        <f>'Monthly Tracker'!D5</f>
        <v/>
      </c>
      <c r="C5" s="17" t="n">
        <v>0.5</v>
      </c>
      <c r="D5" s="5" t="inlineStr">
        <is>
          <t>per new subscriber</t>
        </is>
      </c>
      <c r="E5" s="8">
        <f>'Monthly Tracker'!E5</f>
        <v/>
      </c>
    </row>
    <row r="6">
      <c r="A6" s="15">
        <f>'Monthly Tracker'!A6</f>
        <v/>
      </c>
      <c r="B6" s="16">
        <f>'Monthly Tracker'!D6</f>
        <v/>
      </c>
      <c r="C6" s="17" t="n">
        <v>0.25</v>
      </c>
      <c r="D6" s="5" t="inlineStr">
        <is>
          <t>per new follower</t>
        </is>
      </c>
      <c r="E6" s="8">
        <f>'Monthly Tracker'!E6</f>
        <v/>
      </c>
    </row>
    <row r="7">
      <c r="A7" s="15">
        <f>'Monthly Tracker'!A7</f>
        <v/>
      </c>
      <c r="B7" s="16">
        <f>'Monthly Tracker'!D7</f>
        <v/>
      </c>
      <c r="C7" s="17" t="n">
        <v>0.25</v>
      </c>
      <c r="D7" s="5" t="inlineStr">
        <is>
          <t>per new follower</t>
        </is>
      </c>
      <c r="E7" s="8">
        <f>'Monthly Tracker'!E7</f>
        <v/>
      </c>
    </row>
    <row r="8">
      <c r="A8" s="15">
        <f>'Monthly Tracker'!A8</f>
        <v/>
      </c>
      <c r="B8" s="16">
        <f>'Monthly Tracker'!D8</f>
        <v/>
      </c>
      <c r="C8" s="17" t="n">
        <v>1.5</v>
      </c>
      <c r="D8" s="5" t="inlineStr">
        <is>
          <t>per new positive review</t>
        </is>
      </c>
      <c r="E8" s="8">
        <f>'Monthly Tracker'!E8</f>
        <v/>
      </c>
    </row>
    <row r="9">
      <c r="A9" s="15">
        <f>'Monthly Tracker'!A9</f>
        <v/>
      </c>
      <c r="B9" s="16">
        <f>'Monthly Tracker'!D9</f>
        <v/>
      </c>
      <c r="C9" s="17" t="n">
        <v>0.5</v>
      </c>
      <c r="D9" s="5" t="inlineStr">
        <is>
          <t>per additional hour</t>
        </is>
      </c>
      <c r="E9" s="8">
        <f>'Monthly Tracker'!E9</f>
        <v/>
      </c>
    </row>
    <row r="10">
      <c r="A10" s="9" t="inlineStr">
        <is>
          <t>TOTAL BONUS OWED</t>
        </is>
      </c>
      <c r="B10" s="9" t="n"/>
      <c r="C10" s="9" t="n"/>
      <c r="D10" s="9" t="n"/>
      <c r="E10" s="10">
        <f>SUM(E5:E9)</f>
        <v/>
      </c>
    </row>
    <row r="12">
      <c r="A12" s="2" t="inlineStr">
        <is>
          <t>Payout detail</t>
        </is>
      </c>
    </row>
    <row r="13">
      <c r="A13" s="18" t="inlineStr">
        <is>
          <t>Total gain across follower/subscriber rows</t>
        </is>
      </c>
      <c r="B13" s="7">
        <f>SUM(B5:B7)</f>
        <v/>
      </c>
    </row>
    <row r="14">
      <c r="A14" s="18" t="inlineStr">
        <is>
          <t>Bonus from followers &amp; subscribers</t>
        </is>
      </c>
      <c r="B14" s="19">
        <f>SUM(E5:E7)</f>
        <v/>
      </c>
    </row>
    <row r="15">
      <c r="A15" s="18" t="inlineStr">
        <is>
          <t>Bonus from YouTube hours watched</t>
        </is>
      </c>
      <c r="B15" s="19">
        <f>E9</f>
        <v/>
      </c>
    </row>
    <row r="16">
      <c r="A16" s="18" t="inlineStr">
        <is>
          <t>Bonus from Google positive reviews</t>
        </is>
      </c>
      <c r="B16" s="19">
        <f>E8</f>
        <v/>
      </c>
    </row>
    <row r="17">
      <c r="A17" s="2" t="inlineStr">
        <is>
          <t>Total bonus owed this period</t>
        </is>
      </c>
      <c r="B17" s="20">
        <f>E10</f>
        <v/>
      </c>
    </row>
    <row r="20">
      <c r="A20" s="11" t="inlineStr">
        <is>
          <t>Notes</t>
        </is>
      </c>
    </row>
    <row r="21">
      <c r="A21" s="12" t="inlineStr">
        <is>
          <t>• Column C is the only place bonus rates are set — the Monthly Tracker tab reads them from here.</t>
        </is>
      </c>
    </row>
    <row r="22">
      <c r="A22" s="12" t="inlineStr">
        <is>
          <t>• Everything else on this tab is pulled from the Monthly Tracker; enter data there, not here.</t>
        </is>
      </c>
    </row>
    <row r="23">
      <c r="A23" s="12" t="inlineStr">
        <is>
          <t>• Bonus rates in force: YouTube subs $0.50, Instagram $0.25, Facebook $0.25,</t>
        </is>
      </c>
    </row>
    <row r="24">
      <c r="A24" s="12" t="inlineStr">
        <is>
          <t xml:space="preserve">  Google positive reviews $1.50, YouTube hours watched $0.50 per hour.</t>
        </is>
      </c>
    </row>
    <row r="25">
      <c r="A25" s="12" t="inlineStr">
        <is>
          <t>• Bonus is paid on the month-over-month gain and is floored at $0 for any row that declines.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2026-08-22T17:32:51Z</dcterms:created>
  <dcterms:modified xsi:type="dcterms:W3CDTF">2026-08-22T17:32:51Z</dcterms:modified>
</cp:coreProperties>
</file>